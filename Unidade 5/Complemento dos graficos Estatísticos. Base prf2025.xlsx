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bookViews>
    <workbookView xWindow="0" yWindow="0" windowWidth="20490" windowHeight="7650" firstSheet="4" activeTab="9"/>
  </bookViews>
  <sheets>
    <sheet name="Resumo" sheetId="1" r:id="rId1"/>
    <sheet name="Mortos" sheetId="2" r:id="rId2"/>
    <sheet name="Fatalidade" sheetId="3" r:id="rId3"/>
    <sheet name="UF Fatal" sheetId="4" r:id="rId4"/>
    <sheet name="Mensal" sheetId="5" r:id="rId5"/>
    <sheet name="Fase do Dia" sheetId="6" r:id="rId6"/>
    <sheet name="Tipo Acidente" sheetId="7" r:id="rId7"/>
    <sheet name="Veículos x Pessoas" sheetId="8" r:id="rId8"/>
    <sheet name="Correlação" sheetId="9" r:id="rId9"/>
    <sheet name="Dia Hora" sheetId="10" r:id="rId10"/>
  </sheets>
  <calcPr calcId="0"/>
</workbook>
</file>

<file path=xl/sharedStrings.xml><?xml version="1.0" encoding="utf-8"?>
<sst xmlns="http://schemas.openxmlformats.org/spreadsheetml/2006/main" count="133" uniqueCount="113">
  <si>
    <t>PRF DataTran 2025 — Resumo Geral</t>
  </si>
  <si>
    <t>Indicador</t>
  </si>
  <si>
    <t>Quantidade</t>
  </si>
  <si>
    <t>Percentual</t>
  </si>
  <si>
    <t>Total de acidentes</t>
  </si>
  <si>
    <t>Acidentes fatais</t>
  </si>
  <si>
    <t>Acidentes não fatais</t>
  </si>
  <si>
    <t>Total de mortos</t>
  </si>
  <si>
    <t>Critério de acidente fatal</t>
  </si>
  <si>
    <t>mortos &gt;= 1</t>
  </si>
  <si>
    <t>Base</t>
  </si>
  <si>
    <t>Dados Abertos PRF/DataTran 2025</t>
  </si>
  <si>
    <t>Total de registros processados</t>
  </si>
  <si>
    <t>Distribuição de mortos nos acidentes fatais</t>
  </si>
  <si>
    <t>Mortos por acidente</t>
  </si>
  <si>
    <t>Quantidade de acidentes</t>
  </si>
  <si>
    <t>Acidentes fatais x não fatais</t>
  </si>
  <si>
    <t>Classificação</t>
  </si>
  <si>
    <t>Não fatal</t>
  </si>
  <si>
    <t>Fatal</t>
  </si>
  <si>
    <t>Top 10 UFs por acidentes fatais</t>
  </si>
  <si>
    <t>UF</t>
  </si>
  <si>
    <t>Percentual do total fatal</t>
  </si>
  <si>
    <t>MG</t>
  </si>
  <si>
    <t>PR</t>
  </si>
  <si>
    <t>BA</t>
  </si>
  <si>
    <t>SC</t>
  </si>
  <si>
    <t>RJ</t>
  </si>
  <si>
    <t>PE</t>
  </si>
  <si>
    <t>RS</t>
  </si>
  <si>
    <t>GO</t>
  </si>
  <si>
    <t>MA</t>
  </si>
  <si>
    <t>SP</t>
  </si>
  <si>
    <t>Acidentes fatais e mortos por mês</t>
  </si>
  <si>
    <t>Mês</t>
  </si>
  <si>
    <t>Acidentes_fatais</t>
  </si>
  <si>
    <t>Mortos</t>
  </si>
  <si>
    <t>Percentual dos fatais</t>
  </si>
  <si>
    <t>Distribuição dos acidentes fatais por fase do dia</t>
  </si>
  <si>
    <t>Fase do dia</t>
  </si>
  <si>
    <t>Plena Noite</t>
  </si>
  <si>
    <t>Pleno dia</t>
  </si>
  <si>
    <t>Amanhecer</t>
  </si>
  <si>
    <t>Anoitecer</t>
  </si>
  <si>
    <t>Pareto dos tipos de acidentes fatais</t>
  </si>
  <si>
    <t>Tipo de acidente</t>
  </si>
  <si>
    <t>Percentual acumulado</t>
  </si>
  <si>
    <t>Colisão frontal</t>
  </si>
  <si>
    <t>Atropelamento de Pedestre</t>
  </si>
  <si>
    <t>Colisão traseira</t>
  </si>
  <si>
    <t>Saída de leito carroçável</t>
  </si>
  <si>
    <t>Colisão transversal</t>
  </si>
  <si>
    <t>Colisão com objeto</t>
  </si>
  <si>
    <t>Tombamento</t>
  </si>
  <si>
    <t>Colisão lateral mesmo sentido</t>
  </si>
  <si>
    <t>Colisão lateral sentido oposto</t>
  </si>
  <si>
    <t>Queda de ocupante de veículo</t>
  </si>
  <si>
    <t>Atropelamento de Animal</t>
  </si>
  <si>
    <t>Capotamento</t>
  </si>
  <si>
    <t>Engavetamento</t>
  </si>
  <si>
    <t>Eventos atípicos</t>
  </si>
  <si>
    <t>Derramamento de carga</t>
  </si>
  <si>
    <t>Resumo estatístico — veículos x pessoas</t>
  </si>
  <si>
    <t>Variável</t>
  </si>
  <si>
    <t>Contagem</t>
  </si>
  <si>
    <t>Média</t>
  </si>
  <si>
    <t>Desvio padrão</t>
  </si>
  <si>
    <t>Mínimo</t>
  </si>
  <si>
    <t>Mediana</t>
  </si>
  <si>
    <t>Máximo</t>
  </si>
  <si>
    <t>veiculos</t>
  </si>
  <si>
    <t>pessoas</t>
  </si>
  <si>
    <t>Matriz de correlação</t>
  </si>
  <si>
    <t>mortos</t>
  </si>
  <si>
    <t>acidente_fatal</t>
  </si>
  <si>
    <t>feridos</t>
  </si>
  <si>
    <t>feridos_leves</t>
  </si>
  <si>
    <t>feridos_graves</t>
  </si>
  <si>
    <t>ilesos</t>
  </si>
  <si>
    <t>ignorados</t>
  </si>
  <si>
    <t>Acidentes fatais por dia da semana e hora</t>
  </si>
  <si>
    <t>dia_semana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</si>
  <si>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</si>
  <si>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</si>
  <si>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</si>
  <si>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</si>
  <si>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</si>
  <si>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</si>
  <si>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</si>
  <si>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</si>
  <si>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</si>
  <si>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</si>
  <si>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</si>
  <si>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</si>
  <si>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</si>
  <si>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</si>
  <si>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</si>
  <si>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</si>
  <si>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</si>
  <si>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</si>
  <si>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</si>
  <si>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</si>
  <si>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</si>
  <si>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</si>
  <si>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</si>
  <si>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</si>
  <si>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domingo</t>
  </si>
  <si>
    <t>quarta-feira</t>
  </si>
  <si>
    <t>quinta-feira</t>
  </si>
  <si>
    <t>segunda-feira</t>
  </si>
  <si>
    <t>sexta-feira</t>
  </si>
  <si>
    <t>sábado</t>
  </si>
  <si>
    <t>terça-feira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</si>
</sst>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0" fontId="0" fillId="0" borderId="6" xfId="0" applyNumberFormat="1" applyBorder="1" applyAlignment="1">
      <alignment vertical="center" wrapText="1"/>
    </xf>
    <xf numFmtId="10" fontId="0" fillId="0" borderId="9" xfId="0" applyNumberForma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10" fontId="0" fillId="0" borderId="8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Acidentes fatais x não fatais</a:t>
            </a:r>
          </a:p>
          <a:p>
            <a:pPr>
              <a:defRPr/>
            </a:pPr>
            <a:endParaRPr lang="pt-BR"/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9.1267172437338884E-3"/>
          <c:y val="1.4414414414414415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Fatalidade!$B$2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plosion val="1"/>
            <c:extLst>
              <c:ext xmlns:c16="http://schemas.microsoft.com/office/drawing/2014/chart" uri="{C3380CC4-5D6E-409C-BE32-E72D297353CC}">
                <c16:uniqueId val="{00000001-AFF0-4E93-8B10-725F9CEB214D}"/>
              </c:ext>
            </c:extLst>
          </c:dPt>
          <c:cat>
            <c:strRef>
              <c:f>Fatalidade!$A$3:$A$4</c:f>
              <c:strCache>
                <c:ptCount val="2"/>
                <c:pt idx="0">
                  <c:v>Não fatal</c:v>
                </c:pt>
                <c:pt idx="1">
                  <c:v>Fatal</c:v>
                </c:pt>
              </c:strCache>
            </c:strRef>
          </c:cat>
          <c:val>
            <c:numRef>
              <c:f>Fatalidade!$B$3:$B$4</c:f>
              <c:numCache>
                <c:formatCode>General</c:formatCode>
                <c:ptCount val="2"/>
                <c:pt idx="0">
                  <c:v>67319</c:v>
                </c:pt>
                <c:pt idx="1">
                  <c:v>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0-4E93-8B10-725F9CEB2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UFs — acidentes fatais</a:t>
            </a:r>
          </a:p>
          <a:p>
            <a:pPr>
              <a:defRPr/>
            </a:pPr>
            <a:endParaRPr lang="pt-BR"/>
          </a:p>
          <a:p>
            <a:pPr>
              <a:defRPr/>
            </a:pPr>
            <a:endParaRPr lang="pt-BR"/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0.3366980539861895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0087884494664157E-2"/>
          <c:y val="6.479113384484228E-2"/>
          <c:w val="0.8497313542021937"/>
          <c:h val="0.9249786871270246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'UF Fatal'!$B$2</c:f>
              <c:strCache>
                <c:ptCount val="1"/>
                <c:pt idx="0">
                  <c:v>Acidentes fatais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'UF Fatal'!$A$3:$A$12</c:f>
              <c:strCache>
                <c:ptCount val="10"/>
                <c:pt idx="0">
                  <c:v>MG</c:v>
                </c:pt>
                <c:pt idx="1">
                  <c:v>PR</c:v>
                </c:pt>
                <c:pt idx="2">
                  <c:v>BA</c:v>
                </c:pt>
                <c:pt idx="3">
                  <c:v>SC</c:v>
                </c:pt>
                <c:pt idx="4">
                  <c:v>RJ</c:v>
                </c:pt>
                <c:pt idx="5">
                  <c:v>PE</c:v>
                </c:pt>
                <c:pt idx="6">
                  <c:v>RS</c:v>
                </c:pt>
                <c:pt idx="7">
                  <c:v>GO</c:v>
                </c:pt>
                <c:pt idx="8">
                  <c:v>MA</c:v>
                </c:pt>
                <c:pt idx="9">
                  <c:v>SP</c:v>
                </c:pt>
              </c:strCache>
            </c:strRef>
          </c:cat>
          <c:val>
            <c:numRef>
              <c:f>'UF Fatal'!$B$3:$B$12</c:f>
              <c:numCache>
                <c:formatCode>General</c:formatCode>
                <c:ptCount val="10"/>
                <c:pt idx="0">
                  <c:v>647</c:v>
                </c:pt>
                <c:pt idx="1">
                  <c:v>511</c:v>
                </c:pt>
                <c:pt idx="2">
                  <c:v>476</c:v>
                </c:pt>
                <c:pt idx="3">
                  <c:v>374</c:v>
                </c:pt>
                <c:pt idx="4">
                  <c:v>306</c:v>
                </c:pt>
                <c:pt idx="5">
                  <c:v>302</c:v>
                </c:pt>
                <c:pt idx="6">
                  <c:v>275</c:v>
                </c:pt>
                <c:pt idx="7">
                  <c:v>247</c:v>
                </c:pt>
                <c:pt idx="8">
                  <c:v>236</c:v>
                </c:pt>
                <c:pt idx="9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D-4ECD-A51A-FE95BD0E5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Acidentes fatais por mês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2.8423772609819122E-2"/>
          <c:y val="0.10975609756097561"/>
          <c:w val="0.8239276485788114"/>
          <c:h val="0.84552845528455289"/>
        </c:manualLayout>
      </c:layout>
      <c:lineChart>
        <c:grouping val="standard"/>
        <c:varyColors val="1"/>
        <c:ser>
          <c:idx val="0"/>
          <c:order val="0"/>
          <c:tx>
            <c:strRef>
              <c:f>Mensal!$B$2</c:f>
              <c:strCache>
                <c:ptCount val="1"/>
                <c:pt idx="0">
                  <c:v>Acidentes_fatais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Mensal!$A$3:$A$14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Mensal!$B$3:$B$14</c:f>
              <c:numCache>
                <c:formatCode>General</c:formatCode>
                <c:ptCount val="12"/>
                <c:pt idx="0">
                  <c:v>359</c:v>
                </c:pt>
                <c:pt idx="1">
                  <c:v>362</c:v>
                </c:pt>
                <c:pt idx="2">
                  <c:v>402</c:v>
                </c:pt>
                <c:pt idx="3">
                  <c:v>414</c:v>
                </c:pt>
                <c:pt idx="4">
                  <c:v>504</c:v>
                </c:pt>
                <c:pt idx="5">
                  <c:v>457</c:v>
                </c:pt>
                <c:pt idx="6">
                  <c:v>456</c:v>
                </c:pt>
                <c:pt idx="7">
                  <c:v>472</c:v>
                </c:pt>
                <c:pt idx="8">
                  <c:v>438</c:v>
                </c:pt>
                <c:pt idx="9">
                  <c:v>422</c:v>
                </c:pt>
                <c:pt idx="10">
                  <c:v>444</c:v>
                </c:pt>
                <c:pt idx="11">
                  <c:v>480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5A-4F31-AE7F-7FA587A1A3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Acidentes fatais por fase do dia</a:t>
            </a:r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1.5443810264457656E-2"/>
          <c:y val="2.1164015285862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9488526897100825"/>
          <c:y val="3.17460229287942E-2"/>
          <c:w val="0.61493257787221045"/>
          <c:h val="0.92239861061850303"/>
        </c:manualLayout>
      </c:layout>
      <c:pieChart>
        <c:varyColors val="1"/>
        <c:ser>
          <c:idx val="0"/>
          <c:order val="0"/>
          <c:tx>
            <c:strRef>
              <c:f>'Fase do Dia'!$B$2</c:f>
              <c:strCache>
                <c:ptCount val="1"/>
                <c:pt idx="0">
                  <c:v>Acidentes fatais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'Fase do Dia'!$A$3:$A$6</c:f>
              <c:strCache>
                <c:ptCount val="4"/>
                <c:pt idx="0">
                  <c:v>Plena Noite</c:v>
                </c:pt>
                <c:pt idx="1">
                  <c:v>Pleno dia</c:v>
                </c:pt>
                <c:pt idx="2">
                  <c:v>Amanhecer</c:v>
                </c:pt>
                <c:pt idx="3">
                  <c:v>Anoitecer</c:v>
                </c:pt>
              </c:strCache>
            </c:strRef>
          </c:cat>
          <c:val>
            <c:numRef>
              <c:f>'Fase do Dia'!$B$3:$B$6</c:f>
              <c:numCache>
                <c:formatCode>General</c:formatCode>
                <c:ptCount val="4"/>
                <c:pt idx="0">
                  <c:v>2522</c:v>
                </c:pt>
                <c:pt idx="1">
                  <c:v>2049</c:v>
                </c:pt>
                <c:pt idx="2">
                  <c:v>386</c:v>
                </c:pt>
                <c:pt idx="3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1-4901-82DE-6E6B317420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609599</xdr:colOff>
      <xdr:row>1</xdr:row>
      <xdr:rowOff>0</xdr:rowOff>
    </xdr:from>
    <xdr:ext cx="5400676" cy="35242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609599</xdr:colOff>
      <xdr:row>0</xdr:row>
      <xdr:rowOff>190499</xdr:rowOff>
    </xdr:from>
    <xdr:ext cx="5391151" cy="3505201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609599</xdr:colOff>
      <xdr:row>0</xdr:row>
      <xdr:rowOff>190499</xdr:rowOff>
    </xdr:from>
    <xdr:ext cx="5476875" cy="33432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314324</xdr:colOff>
      <xdr:row>0</xdr:row>
      <xdr:rowOff>123824</xdr:rowOff>
    </xdr:from>
    <xdr:ext cx="5400675" cy="3600451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29" customWidth="1"/>
    <col min="2" max="2" width="33" customWidth="1"/>
    <col min="3" max="3" width="17.42578125" customWidth="1"/>
  </cols>
  <sheetData>
    <row r="1" spans="1:3" x14ac:dyDescent="0.25">
      <c r="A1" s="3" t="s">
        <v>0</v>
      </c>
      <c r="B1" s="4"/>
      <c r="C1" s="5"/>
    </row>
    <row r="2" spans="1:3" x14ac:dyDescent="0.25">
      <c r="A2" s="6" t="s">
        <v>1</v>
      </c>
      <c r="B2" s="1" t="s">
        <v>2</v>
      </c>
      <c r="C2" s="7" t="s">
        <v>3</v>
      </c>
    </row>
    <row r="3" spans="1:3" x14ac:dyDescent="0.25">
      <c r="A3" s="8" t="s">
        <v>4</v>
      </c>
      <c r="B3" s="2">
        <v>72529</v>
      </c>
      <c r="C3" s="9">
        <v>100</v>
      </c>
    </row>
    <row r="4" spans="1:3" x14ac:dyDescent="0.25">
      <c r="A4" s="8" t="s">
        <v>5</v>
      </c>
      <c r="B4" s="2">
        <v>5210</v>
      </c>
      <c r="C4" s="9">
        <v>7.18</v>
      </c>
    </row>
    <row r="5" spans="1:3" x14ac:dyDescent="0.25">
      <c r="A5" s="8" t="s">
        <v>6</v>
      </c>
      <c r="B5" s="2">
        <v>67319</v>
      </c>
      <c r="C5" s="9">
        <v>92.82</v>
      </c>
    </row>
    <row r="6" spans="1:3" x14ac:dyDescent="0.25">
      <c r="A6" s="8" t="s">
        <v>7</v>
      </c>
      <c r="B6" s="2">
        <v>6043</v>
      </c>
      <c r="C6" s="10"/>
    </row>
    <row r="7" spans="1:3" x14ac:dyDescent="0.25">
      <c r="A7" s="8"/>
      <c r="B7" s="2"/>
      <c r="C7" s="10"/>
    </row>
    <row r="8" spans="1:3" x14ac:dyDescent="0.25">
      <c r="A8" s="8" t="s">
        <v>8</v>
      </c>
      <c r="B8" s="2" t="s">
        <v>9</v>
      </c>
      <c r="C8" s="10"/>
    </row>
    <row r="9" spans="1:3" x14ac:dyDescent="0.25">
      <c r="A9" s="8"/>
      <c r="B9" s="2"/>
      <c r="C9" s="10"/>
    </row>
    <row r="10" spans="1:3" x14ac:dyDescent="0.25">
      <c r="A10" s="8" t="s">
        <v>10</v>
      </c>
      <c r="B10" s="2" t="s">
        <v>11</v>
      </c>
      <c r="C10" s="10"/>
    </row>
    <row r="11" spans="1:3" ht="15.75" thickBot="1" x14ac:dyDescent="0.3">
      <c r="A11" s="11" t="s">
        <v>12</v>
      </c>
      <c r="B11" s="12">
        <v>72529</v>
      </c>
      <c r="C11" s="13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38" customWidth="1"/>
    <col min="2" max="2" width="26.7109375" customWidth="1"/>
    <col min="3" max="3" width="18.85546875" customWidth="1"/>
  </cols>
  <sheetData>
    <row r="1" spans="1:3" x14ac:dyDescent="0.25">
      <c r="A1" s="15" t="s">
        <v>13</v>
      </c>
      <c r="B1" s="16"/>
      <c r="C1" s="17"/>
    </row>
    <row r="2" spans="1:3" x14ac:dyDescent="0.25">
      <c r="A2" s="6" t="s">
        <v>14</v>
      </c>
      <c r="B2" s="1" t="s">
        <v>15</v>
      </c>
      <c r="C2" s="7" t="s">
        <v>3</v>
      </c>
    </row>
    <row r="3" spans="1:3" x14ac:dyDescent="0.25">
      <c r="A3" s="8">
        <v>1</v>
      </c>
      <c r="B3" s="2">
        <v>4632</v>
      </c>
      <c r="C3" s="18">
        <v>0.8891</v>
      </c>
    </row>
    <row r="4" spans="1:3" x14ac:dyDescent="0.25">
      <c r="A4" s="8">
        <v>2</v>
      </c>
      <c r="B4" s="2">
        <v>434</v>
      </c>
      <c r="C4" s="18">
        <v>8.3299999999999999E-2</v>
      </c>
    </row>
    <row r="5" spans="1:3" x14ac:dyDescent="0.25">
      <c r="A5" s="8">
        <v>3</v>
      </c>
      <c r="B5" s="2">
        <v>93</v>
      </c>
      <c r="C5" s="18">
        <v>1.7899999999999999E-2</v>
      </c>
    </row>
    <row r="6" spans="1:3" x14ac:dyDescent="0.25">
      <c r="A6" s="8">
        <v>4</v>
      </c>
      <c r="B6" s="2">
        <v>28</v>
      </c>
      <c r="C6" s="18">
        <v>5.4000000000000003E-3</v>
      </c>
    </row>
    <row r="7" spans="1:3" x14ac:dyDescent="0.25">
      <c r="A7" s="8">
        <v>5</v>
      </c>
      <c r="B7" s="2">
        <v>13</v>
      </c>
      <c r="C7" s="18">
        <v>2.5000000000000001E-3</v>
      </c>
    </row>
    <row r="8" spans="1:3" x14ac:dyDescent="0.25">
      <c r="A8" s="8">
        <v>6</v>
      </c>
      <c r="B8" s="2">
        <v>3</v>
      </c>
      <c r="C8" s="18">
        <v>5.9999999999999995E-4</v>
      </c>
    </row>
    <row r="9" spans="1:3" x14ac:dyDescent="0.25">
      <c r="A9" s="8">
        <v>7</v>
      </c>
      <c r="B9" s="2">
        <v>2</v>
      </c>
      <c r="C9" s="18">
        <v>4.0000000000000002E-4</v>
      </c>
    </row>
    <row r="10" spans="1:3" x14ac:dyDescent="0.25">
      <c r="A10" s="8">
        <v>9</v>
      </c>
      <c r="B10" s="2">
        <v>2</v>
      </c>
      <c r="C10" s="18">
        <v>4.0000000000000002E-4</v>
      </c>
    </row>
    <row r="11" spans="1:3" x14ac:dyDescent="0.25">
      <c r="A11" s="8">
        <v>10</v>
      </c>
      <c r="B11" s="2">
        <v>1</v>
      </c>
      <c r="C11" s="18">
        <v>2.0000000000000001E-4</v>
      </c>
    </row>
    <row r="12" spans="1:3" x14ac:dyDescent="0.25">
      <c r="A12" s="8">
        <v>11</v>
      </c>
      <c r="B12" s="2">
        <v>1</v>
      </c>
      <c r="C12" s="18">
        <v>2.0000000000000001E-4</v>
      </c>
    </row>
    <row r="13" spans="1:3" ht="15.75" thickBot="1" x14ac:dyDescent="0.3">
      <c r="A13" s="11">
        <v>16</v>
      </c>
      <c r="B13" s="12">
        <v>1</v>
      </c>
      <c r="C13" s="19">
        <v>2.0000000000000001E-4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showGridLines="0" workbookViewId="0">
      <selection sqref="A1:C1"/>
    </sheetView>
  </sheetViews>
  <sheetFormatPr defaultRowHeight="15" x14ac:dyDescent="0.25"/>
  <cols>
    <col min="1" max="1" width="28.140625" customWidth="1"/>
    <col min="2" max="2" width="14.85546875" customWidth="1"/>
    <col min="3" max="3" width="14" customWidth="1"/>
  </cols>
  <sheetData>
    <row r="1" spans="1:3" x14ac:dyDescent="0.25">
      <c r="A1" s="20" t="s">
        <v>16</v>
      </c>
      <c r="B1" s="4"/>
      <c r="C1" s="5"/>
    </row>
    <row r="2" spans="1:3" x14ac:dyDescent="0.25">
      <c r="A2" s="6" t="s">
        <v>17</v>
      </c>
      <c r="B2" s="1" t="s">
        <v>2</v>
      </c>
      <c r="C2" s="7" t="s">
        <v>3</v>
      </c>
    </row>
    <row r="3" spans="1:3" x14ac:dyDescent="0.25">
      <c r="A3" s="8" t="s">
        <v>18</v>
      </c>
      <c r="B3" s="2">
        <v>67319</v>
      </c>
      <c r="C3" s="18">
        <v>0.92820000000000003</v>
      </c>
    </row>
    <row r="4" spans="1:3" ht="15.75" thickBot="1" x14ac:dyDescent="0.3">
      <c r="A4" s="11" t="s">
        <v>19</v>
      </c>
      <c r="B4" s="12">
        <v>5210</v>
      </c>
      <c r="C4" s="19">
        <v>7.1800000000000003E-2</v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workbookViewId="0">
      <selection sqref="A1:C1"/>
    </sheetView>
  </sheetViews>
  <sheetFormatPr defaultRowHeight="15" x14ac:dyDescent="0.25"/>
  <cols>
    <col min="1" max="1" width="33" customWidth="1"/>
    <col min="2" max="2" width="18" customWidth="1"/>
    <col min="3" max="3" width="27" customWidth="1"/>
  </cols>
  <sheetData>
    <row r="1" spans="1:3" x14ac:dyDescent="0.25">
      <c r="A1" s="15" t="s">
        <v>20</v>
      </c>
      <c r="B1" s="16"/>
      <c r="C1" s="17"/>
    </row>
    <row r="2" spans="1:3" x14ac:dyDescent="0.25">
      <c r="A2" s="6" t="s">
        <v>21</v>
      </c>
      <c r="B2" s="1" t="s">
        <v>5</v>
      </c>
      <c r="C2" s="7" t="s">
        <v>22</v>
      </c>
    </row>
    <row r="3" spans="1:3" x14ac:dyDescent="0.25">
      <c r="A3" s="8" t="s">
        <v>23</v>
      </c>
      <c r="B3" s="2">
        <v>647</v>
      </c>
      <c r="C3" s="18">
        <v>0.1242</v>
      </c>
    </row>
    <row r="4" spans="1:3" x14ac:dyDescent="0.25">
      <c r="A4" s="8" t="s">
        <v>24</v>
      </c>
      <c r="B4" s="2">
        <v>511</v>
      </c>
      <c r="C4" s="18">
        <v>9.8100000000000007E-2</v>
      </c>
    </row>
    <row r="5" spans="1:3" x14ac:dyDescent="0.25">
      <c r="A5" s="8" t="s">
        <v>25</v>
      </c>
      <c r="B5" s="2">
        <v>476</v>
      </c>
      <c r="C5" s="18">
        <v>9.1399999999999995E-2</v>
      </c>
    </row>
    <row r="6" spans="1:3" x14ac:dyDescent="0.25">
      <c r="A6" s="8" t="s">
        <v>26</v>
      </c>
      <c r="B6" s="2">
        <v>374</v>
      </c>
      <c r="C6" s="18">
        <v>7.1800000000000003E-2</v>
      </c>
    </row>
    <row r="7" spans="1:3" x14ac:dyDescent="0.25">
      <c r="A7" s="8" t="s">
        <v>27</v>
      </c>
      <c r="B7" s="2">
        <v>306</v>
      </c>
      <c r="C7" s="18">
        <v>5.8700000000000002E-2</v>
      </c>
    </row>
    <row r="8" spans="1:3" x14ac:dyDescent="0.25">
      <c r="A8" s="8" t="s">
        <v>28</v>
      </c>
      <c r="B8" s="2">
        <v>302</v>
      </c>
      <c r="C8" s="18">
        <v>5.8000000000000003E-2</v>
      </c>
    </row>
    <row r="9" spans="1:3" x14ac:dyDescent="0.25">
      <c r="A9" s="8" t="s">
        <v>29</v>
      </c>
      <c r="B9" s="2">
        <v>275</v>
      </c>
      <c r="C9" s="18">
        <v>5.28E-2</v>
      </c>
    </row>
    <row r="10" spans="1:3" x14ac:dyDescent="0.25">
      <c r="A10" s="8" t="s">
        <v>30</v>
      </c>
      <c r="B10" s="2">
        <v>247</v>
      </c>
      <c r="C10" s="18">
        <v>4.7399999999999998E-2</v>
      </c>
    </row>
    <row r="11" spans="1:3" x14ac:dyDescent="0.25">
      <c r="A11" s="8" t="s">
        <v>31</v>
      </c>
      <c r="B11" s="2">
        <v>236</v>
      </c>
      <c r="C11" s="18">
        <v>4.53E-2</v>
      </c>
    </row>
    <row r="12" spans="1:3" ht="15.75" thickBot="1" x14ac:dyDescent="0.3">
      <c r="A12" s="11" t="s">
        <v>32</v>
      </c>
      <c r="B12" s="12">
        <v>205</v>
      </c>
      <c r="C12" s="19">
        <v>3.9300000000000002E-2</v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workbookViewId="0">
      <selection sqref="A1:D1"/>
    </sheetView>
  </sheetViews>
  <sheetFormatPr defaultRowHeight="15" x14ac:dyDescent="0.25"/>
  <cols>
    <col min="1" max="1" width="35" customWidth="1"/>
    <col min="2" max="2" width="18" customWidth="1"/>
    <col min="3" max="3" width="12" customWidth="1"/>
    <col min="4" max="4" width="23" customWidth="1"/>
  </cols>
  <sheetData>
    <row r="1" spans="1:4" x14ac:dyDescent="0.25">
      <c r="A1" s="20" t="s">
        <v>33</v>
      </c>
      <c r="B1" s="4"/>
      <c r="C1" s="4"/>
      <c r="D1" s="5"/>
    </row>
    <row r="2" spans="1:4" x14ac:dyDescent="0.25">
      <c r="A2" s="6" t="s">
        <v>34</v>
      </c>
      <c r="B2" s="1" t="s">
        <v>35</v>
      </c>
      <c r="C2" s="1" t="s">
        <v>36</v>
      </c>
      <c r="D2" s="7" t="s">
        <v>37</v>
      </c>
    </row>
    <row r="3" spans="1:4" x14ac:dyDescent="0.25">
      <c r="A3" s="8">
        <v>1</v>
      </c>
      <c r="B3" s="2">
        <v>359</v>
      </c>
      <c r="C3" s="2">
        <v>418</v>
      </c>
      <c r="D3" s="18">
        <v>6.8900000000000003E-2</v>
      </c>
    </row>
    <row r="4" spans="1:4" x14ac:dyDescent="0.25">
      <c r="A4" s="8">
        <v>2</v>
      </c>
      <c r="B4" s="2">
        <v>362</v>
      </c>
      <c r="C4" s="2">
        <v>412</v>
      </c>
      <c r="D4" s="18">
        <v>6.9500000000000006E-2</v>
      </c>
    </row>
    <row r="5" spans="1:4" x14ac:dyDescent="0.25">
      <c r="A5" s="8">
        <v>3</v>
      </c>
      <c r="B5" s="2">
        <v>402</v>
      </c>
      <c r="C5" s="2">
        <v>462</v>
      </c>
      <c r="D5" s="18">
        <v>7.7200000000000005E-2</v>
      </c>
    </row>
    <row r="6" spans="1:4" x14ac:dyDescent="0.25">
      <c r="A6" s="8">
        <v>4</v>
      </c>
      <c r="B6" s="2">
        <v>414</v>
      </c>
      <c r="C6" s="2">
        <v>495</v>
      </c>
      <c r="D6" s="18">
        <v>7.9500000000000001E-2</v>
      </c>
    </row>
    <row r="7" spans="1:4" x14ac:dyDescent="0.25">
      <c r="A7" s="8">
        <v>5</v>
      </c>
      <c r="B7" s="2">
        <v>504</v>
      </c>
      <c r="C7" s="2">
        <v>574</v>
      </c>
      <c r="D7" s="18">
        <v>9.6699999999999994E-2</v>
      </c>
    </row>
    <row r="8" spans="1:4" x14ac:dyDescent="0.25">
      <c r="A8" s="8">
        <v>6</v>
      </c>
      <c r="B8" s="2">
        <v>457</v>
      </c>
      <c r="C8" s="2">
        <v>528</v>
      </c>
      <c r="D8" s="18">
        <v>8.77E-2</v>
      </c>
    </row>
    <row r="9" spans="1:4" x14ac:dyDescent="0.25">
      <c r="A9" s="8">
        <v>7</v>
      </c>
      <c r="B9" s="2">
        <v>456</v>
      </c>
      <c r="C9" s="2">
        <v>536</v>
      </c>
      <c r="D9" s="18">
        <v>8.7499999999999994E-2</v>
      </c>
    </row>
    <row r="10" spans="1:4" x14ac:dyDescent="0.25">
      <c r="A10" s="8">
        <v>8</v>
      </c>
      <c r="B10" s="2">
        <v>472</v>
      </c>
      <c r="C10" s="2">
        <v>554</v>
      </c>
      <c r="D10" s="18">
        <v>9.06E-2</v>
      </c>
    </row>
    <row r="11" spans="1:4" x14ac:dyDescent="0.25">
      <c r="A11" s="8">
        <v>9</v>
      </c>
      <c r="B11" s="2">
        <v>438</v>
      </c>
      <c r="C11" s="2">
        <v>500</v>
      </c>
      <c r="D11" s="18">
        <v>8.4099999999999994E-2</v>
      </c>
    </row>
    <row r="12" spans="1:4" x14ac:dyDescent="0.25">
      <c r="A12" s="8">
        <v>10</v>
      </c>
      <c r="B12" s="2">
        <v>422</v>
      </c>
      <c r="C12" s="2">
        <v>494</v>
      </c>
      <c r="D12" s="18">
        <v>8.1000000000000003E-2</v>
      </c>
    </row>
    <row r="13" spans="1:4" x14ac:dyDescent="0.25">
      <c r="A13" s="8">
        <v>11</v>
      </c>
      <c r="B13" s="2">
        <v>444</v>
      </c>
      <c r="C13" s="2">
        <v>498</v>
      </c>
      <c r="D13" s="18">
        <v>8.5199999999999998E-2</v>
      </c>
    </row>
    <row r="14" spans="1:4" ht="15.75" thickBot="1" x14ac:dyDescent="0.3">
      <c r="A14" s="11">
        <v>12</v>
      </c>
      <c r="B14" s="12">
        <v>480</v>
      </c>
      <c r="C14" s="12">
        <v>572</v>
      </c>
      <c r="D14" s="19">
        <v>9.2100000000000001E-2</v>
      </c>
    </row>
  </sheetData>
  <mergeCells count="1">
    <mergeCell ref="A1:D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>
      <selection sqref="A1:C1"/>
    </sheetView>
  </sheetViews>
  <sheetFormatPr defaultRowHeight="15" x14ac:dyDescent="0.25"/>
  <cols>
    <col min="1" max="1" width="38" customWidth="1"/>
    <col min="2" max="2" width="18" customWidth="1"/>
    <col min="3" max="3" width="12" customWidth="1"/>
  </cols>
  <sheetData>
    <row r="1" spans="1:3" x14ac:dyDescent="0.25">
      <c r="A1" s="15" t="s">
        <v>38</v>
      </c>
      <c r="B1" s="16"/>
      <c r="C1" s="17"/>
    </row>
    <row r="2" spans="1:3" x14ac:dyDescent="0.25">
      <c r="A2" s="22" t="s">
        <v>39</v>
      </c>
      <c r="B2" s="21" t="s">
        <v>5</v>
      </c>
      <c r="C2" s="23" t="s">
        <v>3</v>
      </c>
    </row>
    <row r="3" spans="1:3" x14ac:dyDescent="0.25">
      <c r="A3" s="8" t="s">
        <v>40</v>
      </c>
      <c r="B3" s="2">
        <v>2522</v>
      </c>
      <c r="C3" s="18">
        <v>0.48409999999999997</v>
      </c>
    </row>
    <row r="4" spans="1:3" x14ac:dyDescent="0.25">
      <c r="A4" s="8" t="s">
        <v>41</v>
      </c>
      <c r="B4" s="2">
        <v>2049</v>
      </c>
      <c r="C4" s="18">
        <v>0.39329999999999998</v>
      </c>
    </row>
    <row r="5" spans="1:3" x14ac:dyDescent="0.25">
      <c r="A5" s="8" t="s">
        <v>42</v>
      </c>
      <c r="B5" s="2">
        <v>386</v>
      </c>
      <c r="C5" s="18">
        <v>7.4099999999999999E-2</v>
      </c>
    </row>
    <row r="6" spans="1:3" ht="15.75" thickBot="1" x14ac:dyDescent="0.3">
      <c r="A6" s="11" t="s">
        <v>43</v>
      </c>
      <c r="B6" s="12">
        <v>253</v>
      </c>
      <c r="C6" s="19">
        <v>4.8599999999999997E-2</v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38" customWidth="1"/>
    <col min="2" max="2" width="18" customWidth="1"/>
    <col min="3" max="3" width="12" customWidth="1"/>
    <col min="4" max="4" width="22" customWidth="1"/>
  </cols>
  <sheetData>
    <row r="1" spans="1:4" x14ac:dyDescent="0.25">
      <c r="A1" s="20" t="s">
        <v>44</v>
      </c>
      <c r="B1" s="4"/>
      <c r="C1" s="4"/>
      <c r="D1" s="5"/>
    </row>
    <row r="2" spans="1:4" x14ac:dyDescent="0.25">
      <c r="A2" s="6" t="s">
        <v>45</v>
      </c>
      <c r="B2" s="1" t="s">
        <v>5</v>
      </c>
      <c r="C2" s="1" t="s">
        <v>3</v>
      </c>
      <c r="D2" s="7" t="s">
        <v>46</v>
      </c>
    </row>
    <row r="3" spans="1:4" x14ac:dyDescent="0.25">
      <c r="A3" s="8" t="s">
        <v>47</v>
      </c>
      <c r="B3" s="2">
        <v>1396</v>
      </c>
      <c r="C3" s="14">
        <v>0.26790000000000003</v>
      </c>
      <c r="D3" s="18">
        <v>0.26790000000000003</v>
      </c>
    </row>
    <row r="4" spans="1:4" x14ac:dyDescent="0.25">
      <c r="A4" s="8" t="s">
        <v>48</v>
      </c>
      <c r="B4" s="2">
        <v>902</v>
      </c>
      <c r="C4" s="14">
        <v>0.1731</v>
      </c>
      <c r="D4" s="18">
        <v>0.441</v>
      </c>
    </row>
    <row r="5" spans="1:4" x14ac:dyDescent="0.25">
      <c r="A5" s="8" t="s">
        <v>49</v>
      </c>
      <c r="B5" s="2">
        <v>619</v>
      </c>
      <c r="C5" s="14">
        <v>0.1188</v>
      </c>
      <c r="D5" s="18">
        <v>0.55979999999999996</v>
      </c>
    </row>
    <row r="6" spans="1:4" x14ac:dyDescent="0.25">
      <c r="A6" s="8" t="s">
        <v>50</v>
      </c>
      <c r="B6" s="2">
        <v>605</v>
      </c>
      <c r="C6" s="14">
        <v>0.11609999999999999</v>
      </c>
      <c r="D6" s="18">
        <v>0.67589999999999995</v>
      </c>
    </row>
    <row r="7" spans="1:4" x14ac:dyDescent="0.25">
      <c r="A7" s="8" t="s">
        <v>51</v>
      </c>
      <c r="B7" s="2">
        <v>427</v>
      </c>
      <c r="C7" s="14">
        <v>8.2000000000000003E-2</v>
      </c>
      <c r="D7" s="18">
        <v>0.75790000000000002</v>
      </c>
    </row>
    <row r="8" spans="1:4" x14ac:dyDescent="0.25">
      <c r="A8" s="8" t="s">
        <v>52</v>
      </c>
      <c r="B8" s="2">
        <v>297</v>
      </c>
      <c r="C8" s="14">
        <v>5.7000000000000002E-2</v>
      </c>
      <c r="D8" s="18">
        <v>0.81489999999999996</v>
      </c>
    </row>
    <row r="9" spans="1:4" x14ac:dyDescent="0.25">
      <c r="A9" s="8" t="s">
        <v>53</v>
      </c>
      <c r="B9" s="2">
        <v>268</v>
      </c>
      <c r="C9" s="14">
        <v>5.1400000000000001E-2</v>
      </c>
      <c r="D9" s="18">
        <v>0.86629999999999996</v>
      </c>
    </row>
    <row r="10" spans="1:4" x14ac:dyDescent="0.25">
      <c r="A10" s="8" t="s">
        <v>54</v>
      </c>
      <c r="B10" s="2">
        <v>212</v>
      </c>
      <c r="C10" s="14">
        <v>4.07E-2</v>
      </c>
      <c r="D10" s="18">
        <v>0.90700000000000003</v>
      </c>
    </row>
    <row r="11" spans="1:4" x14ac:dyDescent="0.25">
      <c r="A11" s="8" t="s">
        <v>55</v>
      </c>
      <c r="B11" s="2">
        <v>212</v>
      </c>
      <c r="C11" s="14">
        <v>4.07E-2</v>
      </c>
      <c r="D11" s="18">
        <v>0.94769999999999999</v>
      </c>
    </row>
    <row r="12" spans="1:4" x14ac:dyDescent="0.25">
      <c r="A12" s="8" t="s">
        <v>56</v>
      </c>
      <c r="B12" s="2">
        <v>87</v>
      </c>
      <c r="C12" s="14">
        <v>1.67E-2</v>
      </c>
      <c r="D12" s="18">
        <v>0.96440000000000003</v>
      </c>
    </row>
    <row r="13" spans="1:4" x14ac:dyDescent="0.25">
      <c r="A13" s="8" t="s">
        <v>57</v>
      </c>
      <c r="B13" s="2">
        <v>68</v>
      </c>
      <c r="C13" s="14">
        <v>1.3100000000000001E-2</v>
      </c>
      <c r="D13" s="18">
        <v>0.97750000000000004</v>
      </c>
    </row>
    <row r="14" spans="1:4" x14ac:dyDescent="0.25">
      <c r="A14" s="8" t="s">
        <v>58</v>
      </c>
      <c r="B14" s="2">
        <v>63</v>
      </c>
      <c r="C14" s="14">
        <v>1.21E-2</v>
      </c>
      <c r="D14" s="18">
        <v>0.98960000000000004</v>
      </c>
    </row>
    <row r="15" spans="1:4" x14ac:dyDescent="0.25">
      <c r="A15" s="8" t="s">
        <v>59</v>
      </c>
      <c r="B15" s="2">
        <v>28</v>
      </c>
      <c r="C15" s="14">
        <v>5.4000000000000003E-3</v>
      </c>
      <c r="D15" s="18">
        <v>0.995</v>
      </c>
    </row>
    <row r="16" spans="1:4" x14ac:dyDescent="0.25">
      <c r="A16" s="8" t="s">
        <v>60</v>
      </c>
      <c r="B16" s="2">
        <v>23</v>
      </c>
      <c r="C16" s="14">
        <v>4.4000000000000003E-3</v>
      </c>
      <c r="D16" s="18">
        <v>0.99939999999999996</v>
      </c>
    </row>
    <row r="17" spans="1:4" ht="15.75" thickBot="1" x14ac:dyDescent="0.3">
      <c r="A17" s="11" t="s">
        <v>61</v>
      </c>
      <c r="B17" s="12">
        <v>3</v>
      </c>
      <c r="C17" s="24">
        <v>5.9999999999999995E-4</v>
      </c>
      <c r="D17" s="19">
        <v>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showGridLines="0"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38" customWidth="1"/>
    <col min="2" max="3" width="12" customWidth="1"/>
    <col min="4" max="4" width="15" customWidth="1"/>
    <col min="5" max="7" width="12" customWidth="1"/>
  </cols>
  <sheetData>
    <row r="1" spans="1:7" x14ac:dyDescent="0.25">
      <c r="A1" s="20" t="s">
        <v>62</v>
      </c>
      <c r="B1" s="4"/>
      <c r="C1" s="4"/>
      <c r="D1" s="4"/>
      <c r="E1" s="4"/>
      <c r="F1" s="4"/>
      <c r="G1" s="5"/>
    </row>
    <row r="2" spans="1:7" x14ac:dyDescent="0.25">
      <c r="A2" s="6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7" t="s">
        <v>69</v>
      </c>
    </row>
    <row r="3" spans="1:7" x14ac:dyDescent="0.25">
      <c r="A3" s="8" t="s">
        <v>70</v>
      </c>
      <c r="B3" s="2">
        <v>72529</v>
      </c>
      <c r="C3" s="2">
        <v>2</v>
      </c>
      <c r="D3" s="2">
        <v>1.1299999999999999</v>
      </c>
      <c r="E3" s="2">
        <v>1</v>
      </c>
      <c r="F3" s="2">
        <v>2</v>
      </c>
      <c r="G3" s="10">
        <v>82</v>
      </c>
    </row>
    <row r="4" spans="1:7" ht="15.75" thickBot="1" x14ac:dyDescent="0.3">
      <c r="A4" s="11" t="s">
        <v>71</v>
      </c>
      <c r="B4" s="12">
        <v>72529</v>
      </c>
      <c r="C4" s="12">
        <v>2.6</v>
      </c>
      <c r="D4" s="12">
        <v>2.2599999999999998</v>
      </c>
      <c r="E4" s="12">
        <v>1</v>
      </c>
      <c r="F4" s="12">
        <v>2</v>
      </c>
      <c r="G4" s="13">
        <v>76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showGridLines="0"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22" customWidth="1"/>
    <col min="2" max="2" width="12" customWidth="1"/>
    <col min="3" max="3" width="16" customWidth="1"/>
    <col min="4" max="6" width="12" customWidth="1"/>
    <col min="7" max="7" width="15" customWidth="1"/>
    <col min="8" max="8" width="16" customWidth="1"/>
    <col min="9" max="10" width="12" customWidth="1"/>
  </cols>
  <sheetData>
    <row r="1" spans="1:10" x14ac:dyDescent="0.25">
      <c r="A1" s="20" t="s">
        <v>72</v>
      </c>
      <c r="B1" s="4"/>
      <c r="C1" s="4"/>
      <c r="D1" s="4"/>
      <c r="E1" s="4"/>
      <c r="F1" s="4"/>
      <c r="G1" s="4"/>
      <c r="H1" s="4"/>
      <c r="I1" s="4"/>
      <c r="J1" s="5"/>
    </row>
    <row r="2" spans="1:10" s="25" customFormat="1" x14ac:dyDescent="0.25">
      <c r="A2" s="6" t="s">
        <v>63</v>
      </c>
      <c r="B2" s="1" t="s">
        <v>73</v>
      </c>
      <c r="C2" s="1" t="s">
        <v>74</v>
      </c>
      <c r="D2" s="1" t="s">
        <v>71</v>
      </c>
      <c r="E2" s="1" t="s">
        <v>70</v>
      </c>
      <c r="F2" s="1" t="s">
        <v>75</v>
      </c>
      <c r="G2" s="1" t="s">
        <v>76</v>
      </c>
      <c r="H2" s="1" t="s">
        <v>77</v>
      </c>
      <c r="I2" s="1" t="s">
        <v>78</v>
      </c>
      <c r="J2" s="7" t="s">
        <v>79</v>
      </c>
    </row>
    <row r="3" spans="1:10" x14ac:dyDescent="0.25">
      <c r="A3" s="8" t="s">
        <v>73</v>
      </c>
      <c r="B3" s="2">
        <v>1</v>
      </c>
      <c r="C3" s="2">
        <v>0.88429999999999997</v>
      </c>
      <c r="D3" s="2">
        <v>0.1726</v>
      </c>
      <c r="E3" s="2">
        <v>0.12509999999999999</v>
      </c>
      <c r="F3" s="2">
        <v>-2.4400000000000002E-2</v>
      </c>
      <c r="G3" s="2">
        <v>-8.9200000000000002E-2</v>
      </c>
      <c r="H3" s="2">
        <v>0.10580000000000001</v>
      </c>
      <c r="I3" s="2">
        <v>5.4000000000000003E-3</v>
      </c>
      <c r="J3" s="10">
        <v>0.115</v>
      </c>
    </row>
    <row r="4" spans="1:10" x14ac:dyDescent="0.25">
      <c r="A4" s="8" t="s">
        <v>74</v>
      </c>
      <c r="B4" s="2">
        <v>0.88429999999999997</v>
      </c>
      <c r="C4" s="2">
        <v>1</v>
      </c>
      <c r="D4" s="2">
        <v>0.10639999999999999</v>
      </c>
      <c r="E4" s="2">
        <v>0.12559999999999999</v>
      </c>
      <c r="F4" s="2">
        <v>-0.1002</v>
      </c>
      <c r="G4" s="2">
        <v>-0.12939999999999999</v>
      </c>
      <c r="H4" s="2">
        <v>3.2199999999999999E-2</v>
      </c>
      <c r="I4" s="2">
        <v>-9.1999999999999998E-3</v>
      </c>
      <c r="J4" s="10">
        <v>0.1177</v>
      </c>
    </row>
    <row r="5" spans="1:10" x14ac:dyDescent="0.25">
      <c r="A5" s="8" t="s">
        <v>71</v>
      </c>
      <c r="B5" s="2">
        <v>0.1726</v>
      </c>
      <c r="C5" s="2">
        <v>0.10639999999999999</v>
      </c>
      <c r="D5" s="2">
        <v>1</v>
      </c>
      <c r="E5" s="2">
        <v>0.39529999999999998</v>
      </c>
      <c r="F5" s="2">
        <v>0.50290000000000001</v>
      </c>
      <c r="G5" s="2">
        <v>0.4098</v>
      </c>
      <c r="H5" s="2">
        <v>0.24529999999999999</v>
      </c>
      <c r="I5" s="2">
        <v>0.82079999999999997</v>
      </c>
      <c r="J5" s="10">
        <v>0.1991</v>
      </c>
    </row>
    <row r="6" spans="1:10" x14ac:dyDescent="0.25">
      <c r="A6" s="8" t="s">
        <v>70</v>
      </c>
      <c r="B6" s="2">
        <v>0.12509999999999999</v>
      </c>
      <c r="C6" s="2">
        <v>0.12559999999999999</v>
      </c>
      <c r="D6" s="2">
        <v>0.39529999999999998</v>
      </c>
      <c r="E6" s="2">
        <v>1</v>
      </c>
      <c r="F6" s="2">
        <v>6.4799999999999996E-2</v>
      </c>
      <c r="G6" s="2">
        <v>2.3800000000000002E-2</v>
      </c>
      <c r="H6" s="2">
        <v>8.09E-2</v>
      </c>
      <c r="I6" s="2">
        <v>0.27679999999999999</v>
      </c>
      <c r="J6" s="10">
        <v>0.73429999999999995</v>
      </c>
    </row>
    <row r="7" spans="1:10" x14ac:dyDescent="0.25">
      <c r="A7" s="8" t="s">
        <v>75</v>
      </c>
      <c r="B7" s="2">
        <v>-2.4400000000000002E-2</v>
      </c>
      <c r="C7" s="2">
        <v>-0.1002</v>
      </c>
      <c r="D7" s="2">
        <v>0.50290000000000001</v>
      </c>
      <c r="E7" s="2">
        <v>6.4799999999999996E-2</v>
      </c>
      <c r="F7" s="2">
        <v>1</v>
      </c>
      <c r="G7" s="2">
        <v>0.84740000000000004</v>
      </c>
      <c r="H7" s="2">
        <v>0.43280000000000002</v>
      </c>
      <c r="I7" s="2">
        <v>2.2700000000000001E-2</v>
      </c>
      <c r="J7" s="10">
        <v>-5.5800000000000002E-2</v>
      </c>
    </row>
    <row r="8" spans="1:10" x14ac:dyDescent="0.25">
      <c r="A8" s="8" t="s">
        <v>76</v>
      </c>
      <c r="B8" s="2">
        <v>-8.9200000000000002E-2</v>
      </c>
      <c r="C8" s="2">
        <v>-0.12939999999999999</v>
      </c>
      <c r="D8" s="2">
        <v>0.4098</v>
      </c>
      <c r="E8" s="2">
        <v>2.3800000000000002E-2</v>
      </c>
      <c r="F8" s="2">
        <v>0.84740000000000004</v>
      </c>
      <c r="G8" s="2">
        <v>1</v>
      </c>
      <c r="H8" s="2">
        <v>-0.112</v>
      </c>
      <c r="I8" s="2">
        <v>2.07E-2</v>
      </c>
      <c r="J8" s="10">
        <v>-7.2099999999999997E-2</v>
      </c>
    </row>
    <row r="9" spans="1:10" x14ac:dyDescent="0.25">
      <c r="A9" s="8" t="s">
        <v>77</v>
      </c>
      <c r="B9" s="2">
        <v>0.10580000000000001</v>
      </c>
      <c r="C9" s="2">
        <v>3.2199999999999999E-2</v>
      </c>
      <c r="D9" s="2">
        <v>0.24529999999999999</v>
      </c>
      <c r="E9" s="2">
        <v>8.09E-2</v>
      </c>
      <c r="F9" s="2">
        <v>0.43280000000000002</v>
      </c>
      <c r="G9" s="2">
        <v>-0.112</v>
      </c>
      <c r="H9" s="2">
        <v>1</v>
      </c>
      <c r="I9" s="2">
        <v>7.3000000000000001E-3</v>
      </c>
      <c r="J9" s="10">
        <v>1.7999999999999999E-2</v>
      </c>
    </row>
    <row r="10" spans="1:10" x14ac:dyDescent="0.25">
      <c r="A10" s="8" t="s">
        <v>78</v>
      </c>
      <c r="B10" s="2">
        <v>5.4000000000000003E-3</v>
      </c>
      <c r="C10" s="2">
        <v>-9.1999999999999998E-3</v>
      </c>
      <c r="D10" s="2">
        <v>0.82079999999999997</v>
      </c>
      <c r="E10" s="2">
        <v>0.27679999999999999</v>
      </c>
      <c r="F10" s="2">
        <v>2.2700000000000001E-2</v>
      </c>
      <c r="G10" s="2">
        <v>2.07E-2</v>
      </c>
      <c r="H10" s="2">
        <v>7.3000000000000001E-3</v>
      </c>
      <c r="I10" s="2">
        <v>1</v>
      </c>
      <c r="J10" s="10">
        <v>1.8700000000000001E-2</v>
      </c>
    </row>
    <row r="11" spans="1:10" ht="15.75" thickBot="1" x14ac:dyDescent="0.3">
      <c r="A11" s="11" t="s">
        <v>79</v>
      </c>
      <c r="B11" s="12">
        <v>0.115</v>
      </c>
      <c r="C11" s="12">
        <v>0.1177</v>
      </c>
      <c r="D11" s="12">
        <v>0.1991</v>
      </c>
      <c r="E11" s="12">
        <v>0.73429999999999995</v>
      </c>
      <c r="F11" s="12">
        <v>-5.5800000000000002E-2</v>
      </c>
      <c r="G11" s="12">
        <v>-7.2099999999999997E-2</v>
      </c>
      <c r="H11" s="12">
        <v>1.7999999999999999E-2</v>
      </c>
      <c r="I11" s="12">
        <v>1.8700000000000001E-2</v>
      </c>
      <c r="J11" s="13">
        <v>1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showGridLines="0" tabSelected="1" workbookViewId="0">
      <pane ySplit="2" topLeftCell="A3" activePane="bottomLeft" state="frozen"/>
      <selection pane="bottomLeft" sqref="A1:Y1"/>
    </sheetView>
  </sheetViews>
  <sheetFormatPr defaultRowHeight="15" x14ac:dyDescent="0.25"/>
  <cols>
    <col min="1" max="1" width="38" customWidth="1"/>
    <col min="2" max="25" width="12" customWidth="1"/>
  </cols>
  <sheetData>
    <row r="1" spans="1:25" x14ac:dyDescent="0.25">
      <c r="A1" s="26" t="s">
        <v>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x14ac:dyDescent="0.25">
      <c r="A2" s="6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  <c r="N2" s="1" t="s">
        <v>94</v>
      </c>
      <c r="O2" s="1" t="s">
        <v>95</v>
      </c>
      <c r="P2" s="1" t="s">
        <v>96</v>
      </c>
      <c r="Q2" s="1" t="s">
        <v>97</v>
      </c>
      <c r="R2" s="1" t="s">
        <v>98</v>
      </c>
      <c r="S2" s="1" t="s">
        <v>99</v>
      </c>
      <c r="T2" s="1" t="s">
        <v>100</v>
      </c>
      <c r="U2" s="1" t="s">
        <v>101</v>
      </c>
      <c r="V2" s="1" t="s">
        <v>102</v>
      </c>
      <c r="W2" s="1" t="s">
        <v>103</v>
      </c>
      <c r="X2" s="1" t="s">
        <v>104</v>
      </c>
      <c r="Y2" s="7" t="s">
        <v>105</v>
      </c>
    </row>
    <row r="3" spans="1:25" x14ac:dyDescent="0.25">
      <c r="A3" s="8" t="s">
        <v>106</v>
      </c>
      <c r="B3" s="2">
        <v>41</v>
      </c>
      <c r="C3" s="2">
        <v>36</v>
      </c>
      <c r="D3" s="2">
        <v>31</v>
      </c>
      <c r="E3" s="2">
        <v>34</v>
      </c>
      <c r="F3" s="2">
        <v>53</v>
      </c>
      <c r="G3" s="2">
        <v>44</v>
      </c>
      <c r="H3" s="2">
        <v>45</v>
      </c>
      <c r="I3" s="2">
        <v>23</v>
      </c>
      <c r="J3" s="2">
        <v>34</v>
      </c>
      <c r="K3" s="2">
        <v>26</v>
      </c>
      <c r="L3" s="2">
        <v>31</v>
      </c>
      <c r="M3" s="2">
        <v>26</v>
      </c>
      <c r="N3" s="2">
        <v>18</v>
      </c>
      <c r="O3" s="2">
        <v>21</v>
      </c>
      <c r="P3" s="2">
        <v>28</v>
      </c>
      <c r="Q3" s="2">
        <v>41</v>
      </c>
      <c r="R3" s="2">
        <v>40</v>
      </c>
      <c r="S3" s="2">
        <v>52</v>
      </c>
      <c r="T3" s="2">
        <v>87</v>
      </c>
      <c r="U3" s="2">
        <v>95</v>
      </c>
      <c r="V3" s="2">
        <v>73</v>
      </c>
      <c r="W3" s="2">
        <v>60</v>
      </c>
      <c r="X3" s="2">
        <v>45</v>
      </c>
      <c r="Y3" s="10">
        <v>33</v>
      </c>
    </row>
    <row r="4" spans="1:25" x14ac:dyDescent="0.25">
      <c r="A4" s="8" t="s">
        <v>107</v>
      </c>
      <c r="B4" s="2">
        <v>15</v>
      </c>
      <c r="C4" s="2">
        <v>12</v>
      </c>
      <c r="D4" s="2">
        <v>9</v>
      </c>
      <c r="E4" s="2">
        <v>15</v>
      </c>
      <c r="F4" s="2">
        <v>16</v>
      </c>
      <c r="G4" s="2">
        <v>40</v>
      </c>
      <c r="H4" s="2">
        <v>35</v>
      </c>
      <c r="I4" s="2">
        <v>29</v>
      </c>
      <c r="J4" s="2">
        <v>15</v>
      </c>
      <c r="K4" s="2">
        <v>13</v>
      </c>
      <c r="L4" s="2">
        <v>20</v>
      </c>
      <c r="M4" s="2">
        <v>21</v>
      </c>
      <c r="N4" s="2">
        <v>22</v>
      </c>
      <c r="O4" s="2">
        <v>27</v>
      </c>
      <c r="P4" s="2">
        <v>25</v>
      </c>
      <c r="Q4" s="2">
        <v>25</v>
      </c>
      <c r="R4" s="2">
        <v>24</v>
      </c>
      <c r="S4" s="2">
        <v>36</v>
      </c>
      <c r="T4" s="2">
        <v>44</v>
      </c>
      <c r="U4" s="2">
        <v>49</v>
      </c>
      <c r="V4" s="2">
        <v>38</v>
      </c>
      <c r="W4" s="2">
        <v>29</v>
      </c>
      <c r="X4" s="2">
        <v>23</v>
      </c>
      <c r="Y4" s="10">
        <v>26</v>
      </c>
    </row>
    <row r="5" spans="1:25" x14ac:dyDescent="0.25">
      <c r="A5" s="8" t="s">
        <v>108</v>
      </c>
      <c r="B5" s="2">
        <v>22</v>
      </c>
      <c r="C5" s="2">
        <v>13</v>
      </c>
      <c r="D5" s="2">
        <v>19</v>
      </c>
      <c r="E5" s="2">
        <v>18</v>
      </c>
      <c r="F5" s="2">
        <v>23</v>
      </c>
      <c r="G5" s="2">
        <v>31</v>
      </c>
      <c r="H5" s="2">
        <v>25</v>
      </c>
      <c r="I5" s="2">
        <v>21</v>
      </c>
      <c r="J5" s="2">
        <v>28</v>
      </c>
      <c r="K5" s="2">
        <v>16</v>
      </c>
      <c r="L5" s="2">
        <v>26</v>
      </c>
      <c r="M5" s="2">
        <v>22</v>
      </c>
      <c r="N5" s="2">
        <v>21</v>
      </c>
      <c r="O5" s="2">
        <v>22</v>
      </c>
      <c r="P5" s="2">
        <v>21</v>
      </c>
      <c r="Q5" s="2">
        <v>30</v>
      </c>
      <c r="R5" s="2">
        <v>24</v>
      </c>
      <c r="S5" s="2">
        <v>36</v>
      </c>
      <c r="T5" s="2">
        <v>33</v>
      </c>
      <c r="U5" s="2">
        <v>58</v>
      </c>
      <c r="V5" s="2">
        <v>45</v>
      </c>
      <c r="W5" s="2">
        <v>33</v>
      </c>
      <c r="X5" s="2">
        <v>20</v>
      </c>
      <c r="Y5" s="10">
        <v>18</v>
      </c>
    </row>
    <row r="6" spans="1:25" x14ac:dyDescent="0.25">
      <c r="A6" s="8" t="s">
        <v>109</v>
      </c>
      <c r="B6" s="2">
        <v>28</v>
      </c>
      <c r="C6" s="2">
        <v>24</v>
      </c>
      <c r="D6" s="2">
        <v>20</v>
      </c>
      <c r="E6" s="2">
        <v>23</v>
      </c>
      <c r="F6" s="2">
        <v>27</v>
      </c>
      <c r="G6" s="2">
        <v>36</v>
      </c>
      <c r="H6" s="2">
        <v>39</v>
      </c>
      <c r="I6" s="2">
        <v>28</v>
      </c>
      <c r="J6" s="2">
        <v>19</v>
      </c>
      <c r="K6" s="2">
        <v>16</v>
      </c>
      <c r="L6" s="2">
        <v>19</v>
      </c>
      <c r="M6" s="2">
        <v>18</v>
      </c>
      <c r="N6" s="2">
        <v>28</v>
      </c>
      <c r="O6" s="2">
        <v>23</v>
      </c>
      <c r="P6" s="2">
        <v>28</v>
      </c>
      <c r="Q6" s="2">
        <v>32</v>
      </c>
      <c r="R6" s="2">
        <v>37</v>
      </c>
      <c r="S6" s="2">
        <v>28</v>
      </c>
      <c r="T6" s="2">
        <v>39</v>
      </c>
      <c r="U6" s="2">
        <v>48</v>
      </c>
      <c r="V6" s="2">
        <v>30</v>
      </c>
      <c r="W6" s="2">
        <v>18</v>
      </c>
      <c r="X6" s="2">
        <v>28</v>
      </c>
      <c r="Y6" s="10">
        <v>19</v>
      </c>
    </row>
    <row r="7" spans="1:25" x14ac:dyDescent="0.25">
      <c r="A7" s="8" t="s">
        <v>110</v>
      </c>
      <c r="B7" s="2">
        <v>22</v>
      </c>
      <c r="C7" s="2">
        <v>9</v>
      </c>
      <c r="D7" s="2">
        <v>11</v>
      </c>
      <c r="E7" s="2">
        <v>26</v>
      </c>
      <c r="F7" s="2">
        <v>21</v>
      </c>
      <c r="G7" s="2">
        <v>38</v>
      </c>
      <c r="H7" s="2">
        <v>37</v>
      </c>
      <c r="I7" s="2">
        <v>24</v>
      </c>
      <c r="J7" s="2">
        <v>16</v>
      </c>
      <c r="K7" s="2">
        <v>20</v>
      </c>
      <c r="L7" s="2">
        <v>14</v>
      </c>
      <c r="M7" s="2">
        <v>27</v>
      </c>
      <c r="N7" s="2">
        <v>26</v>
      </c>
      <c r="O7" s="2">
        <v>23</v>
      </c>
      <c r="P7" s="2">
        <v>33</v>
      </c>
      <c r="Q7" s="2">
        <v>23</v>
      </c>
      <c r="R7" s="2">
        <v>42</v>
      </c>
      <c r="S7" s="2">
        <v>44</v>
      </c>
      <c r="T7" s="2">
        <v>69</v>
      </c>
      <c r="U7" s="2">
        <v>60</v>
      </c>
      <c r="V7" s="2">
        <v>53</v>
      </c>
      <c r="W7" s="2">
        <v>63</v>
      </c>
      <c r="X7" s="2">
        <v>40</v>
      </c>
      <c r="Y7" s="10">
        <v>25</v>
      </c>
    </row>
    <row r="8" spans="1:25" x14ac:dyDescent="0.25">
      <c r="A8" s="8" t="s">
        <v>111</v>
      </c>
      <c r="B8" s="2">
        <v>27</v>
      </c>
      <c r="C8" s="2">
        <v>27</v>
      </c>
      <c r="D8" s="2">
        <v>35</v>
      </c>
      <c r="E8" s="2">
        <v>47</v>
      </c>
      <c r="F8" s="2">
        <v>52</v>
      </c>
      <c r="G8" s="2">
        <v>47</v>
      </c>
      <c r="H8" s="2">
        <v>27</v>
      </c>
      <c r="I8" s="2">
        <v>24</v>
      </c>
      <c r="J8" s="2">
        <v>24</v>
      </c>
      <c r="K8" s="2">
        <v>30</v>
      </c>
      <c r="L8" s="2">
        <v>18</v>
      </c>
      <c r="M8" s="2">
        <v>32</v>
      </c>
      <c r="N8" s="2">
        <v>30</v>
      </c>
      <c r="O8" s="2">
        <v>28</v>
      </c>
      <c r="P8" s="2">
        <v>32</v>
      </c>
      <c r="Q8" s="2">
        <v>37</v>
      </c>
      <c r="R8" s="2">
        <v>29</v>
      </c>
      <c r="S8" s="2">
        <v>37</v>
      </c>
      <c r="T8" s="2">
        <v>65</v>
      </c>
      <c r="U8" s="2">
        <v>88</v>
      </c>
      <c r="V8" s="2">
        <v>68</v>
      </c>
      <c r="W8" s="2">
        <v>54</v>
      </c>
      <c r="X8" s="2">
        <v>49</v>
      </c>
      <c r="Y8" s="10">
        <v>46</v>
      </c>
    </row>
    <row r="9" spans="1:25" ht="15.75" thickBot="1" x14ac:dyDescent="0.3">
      <c r="A9" s="11" t="s">
        <v>112</v>
      </c>
      <c r="B9" s="12">
        <v>11</v>
      </c>
      <c r="C9" s="12">
        <v>9</v>
      </c>
      <c r="D9" s="12">
        <v>18</v>
      </c>
      <c r="E9" s="12">
        <v>10</v>
      </c>
      <c r="F9" s="12">
        <v>15</v>
      </c>
      <c r="G9" s="12">
        <v>23</v>
      </c>
      <c r="H9" s="12">
        <v>34</v>
      </c>
      <c r="I9" s="12">
        <v>25</v>
      </c>
      <c r="J9" s="12">
        <v>19</v>
      </c>
      <c r="K9" s="12">
        <v>25</v>
      </c>
      <c r="L9" s="12">
        <v>21</v>
      </c>
      <c r="M9" s="12">
        <v>17</v>
      </c>
      <c r="N9" s="12">
        <v>16</v>
      </c>
      <c r="O9" s="12">
        <v>27</v>
      </c>
      <c r="P9" s="12">
        <v>29</v>
      </c>
      <c r="Q9" s="12">
        <v>28</v>
      </c>
      <c r="R9" s="12">
        <v>28</v>
      </c>
      <c r="S9" s="12">
        <v>33</v>
      </c>
      <c r="T9" s="12">
        <v>43</v>
      </c>
      <c r="U9" s="12">
        <v>52</v>
      </c>
      <c r="V9" s="12">
        <v>29</v>
      </c>
      <c r="W9" s="12">
        <v>25</v>
      </c>
      <c r="X9" s="12">
        <v>32</v>
      </c>
      <c r="Y9" s="13">
        <v>17</v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Mortos</vt:lpstr>
      <vt:lpstr>Fatalidade</vt:lpstr>
      <vt:lpstr>UF Fatal</vt:lpstr>
      <vt:lpstr>Mensal</vt:lpstr>
      <vt:lpstr>Fase do Dia</vt:lpstr>
      <vt:lpstr>Tipo Acidente</vt:lpstr>
      <vt:lpstr>Veículos x Pessoas</vt:lpstr>
      <vt:lpstr>Correlação</vt:lpstr>
      <vt:lpstr>Dia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</cp:lastModifiedBy>
  <dcterms:created xsi:type="dcterms:W3CDTF">2026-08-29T23:14:33Z</dcterms:created>
  <dcterms:modified xsi:type="dcterms:W3CDTF">2026-08-30T00:21:23Z</dcterms:modified>
</cp:coreProperties>
</file>